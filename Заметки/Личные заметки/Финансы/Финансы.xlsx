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gizac/Library/Mobile Documents/iCloud~md~obsidian/Documents/Заметки/Заметки/Заметки/Личные заметки/Финансы/"/>
    </mc:Choice>
  </mc:AlternateContent>
  <xr:revisionPtr revIDLastSave="0" documentId="13_ncr:1_{2ACED8CC-5BD7-A84A-BC2D-7F565FCB9D52}" xr6:coauthVersionLast="47" xr6:coauthVersionMax="47" xr10:uidLastSave="{00000000-0000-0000-0000-000000000000}"/>
  <bookViews>
    <workbookView xWindow="1520" yWindow="620" windowWidth="27280" windowHeight="17380" xr2:uid="{BAE43360-3074-4E48-BADA-2A6C5D837C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L3" i="1"/>
  <c r="F3" i="1" s="1"/>
  <c r="K3" i="1"/>
  <c r="D3" i="1"/>
</calcChain>
</file>

<file path=xl/sharedStrings.xml><?xml version="1.0" encoding="utf-8"?>
<sst xmlns="http://schemas.openxmlformats.org/spreadsheetml/2006/main" count="31" uniqueCount="16">
  <si>
    <t>Наименование</t>
  </si>
  <si>
    <t>Сумма</t>
  </si>
  <si>
    <t>ВК музыка</t>
  </si>
  <si>
    <t>Icloud</t>
  </si>
  <si>
    <t>Подписки</t>
  </si>
  <si>
    <t>Итог</t>
  </si>
  <si>
    <t>Дата</t>
  </si>
  <si>
    <t>TIMOB</t>
  </si>
  <si>
    <t>Итог подписки</t>
  </si>
  <si>
    <t>Займы</t>
  </si>
  <si>
    <t>Кому</t>
  </si>
  <si>
    <t>Сколько</t>
  </si>
  <si>
    <t>Сплит</t>
  </si>
  <si>
    <t>Месячный итог</t>
  </si>
  <si>
    <t>Общий итог месяц</t>
  </si>
  <si>
    <t>На билайн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</si>
</sst>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1433-751A-CA43-89A3-461A655F8F27}">
  <dimension ref="A1:L17"/>
  <sheetViews>
    <sheetView tabSelected="1" zoomScale="103" workbookViewId="0">
      <selection activeCell="F4" sqref="F4"/>
    </sheetView>
  </sheetViews>
  <sheetFormatPr baseColWidth="10" defaultRowHeight="16" x14ac:dyDescent="0.2"/>
  <cols>
    <col min="1" max="1" width="14.33203125" customWidth="1"/>
    <col min="4" max="4" width="13.1640625" customWidth="1"/>
    <col min="6" max="6" width="22" customWidth="1"/>
    <col min="12" max="12" width="14.33203125" customWidth="1"/>
  </cols>
  <sheetData>
    <row r="1" spans="1:12" x14ac:dyDescent="0.2">
      <c r="A1" s="1" t="s">
        <v>4</v>
      </c>
      <c r="H1" s="1" t="s">
        <v>9</v>
      </c>
    </row>
    <row r="2" spans="1:12" x14ac:dyDescent="0.2">
      <c r="A2" s="2" t="s">
        <v>0</v>
      </c>
      <c r="B2" t="s">
        <v>1</v>
      </c>
      <c r="C2" t="s">
        <v>6</v>
      </c>
      <c r="D2" t="s">
        <v>8</v>
      </c>
      <c r="E2" t="s">
        <v>15</v>
      </c>
      <c r="F2" t="s">
        <v>14</v>
      </c>
      <c r="H2" t="s">
        <v>10</v>
      </c>
      <c r="I2" t="s">
        <v>11</v>
      </c>
      <c r="J2" t="s">
        <v>6</v>
      </c>
      <c r="K2" t="s">
        <v>5</v>
      </c>
      <c r="L2" t="s">
        <v>13</v>
      </c>
    </row>
    <row r="3" spans="1:12" x14ac:dyDescent="0.2">
      <c r="A3" t="s">
        <v>2</v>
      </c>
      <c r="B3">
        <v>199</v>
      </c>
      <c r="C3">
        <v>17</v>
      </c>
      <c r="D3">
        <f>SUM(B:B)</f>
        <v>958</v>
      </c>
      <c r="E3">
        <f>(B4+B6)</f>
        <v>149</v>
      </c>
      <c r="F3">
        <f ca="1">SUM(D3,L3)</f>
        <v>1843</v>
      </c>
      <c r="H3" t="s">
        <v>12</v>
      </c>
      <c r="I3">
        <v>0</v>
      </c>
      <c r="J3" s="3">
        <v>45973</v>
      </c>
      <c r="K3">
        <f>SUM(I:I)</f>
        <v>2078</v>
      </c>
      <c r="L3">
        <f ca="1">SUMIFS(I:I, J:J, "&gt;="&amp;DATE(YEAR(TODAY()), MONTH(TODAY()), 1), J:J, "&lt;="&amp;DATE(YEAR(TODAY()), MONTH(TODAY())+1, 0))</f>
        <v>885</v>
      </c>
    </row>
    <row r="4" spans="1:12" x14ac:dyDescent="0.2">
      <c r="A4" t="s">
        <v>3</v>
      </c>
      <c r="B4">
        <v>149</v>
      </c>
      <c r="C4">
        <v>13</v>
      </c>
      <c r="H4" t="s">
        <v>12</v>
      </c>
      <c r="I4">
        <v>0</v>
      </c>
      <c r="J4" s="3">
        <v>45973</v>
      </c>
    </row>
    <row r="5" spans="1:12" x14ac:dyDescent="0.2">
      <c r="A5" t="s">
        <v>7</v>
      </c>
      <c r="B5">
        <v>610</v>
      </c>
      <c r="C5">
        <v>30</v>
      </c>
      <c r="H5" t="s">
        <v>12</v>
      </c>
      <c r="I5">
        <v>0</v>
      </c>
      <c r="J5" s="3">
        <v>45974</v>
      </c>
    </row>
    <row r="6" spans="1:12" x14ac:dyDescent="0.2">
      <c r="H6" t="s">
        <v>12</v>
      </c>
      <c r="I6">
        <v>0</v>
      </c>
      <c r="J6" s="3">
        <v>45974</v>
      </c>
    </row>
    <row r="7" spans="1:12" x14ac:dyDescent="0.2">
      <c r="H7" t="s">
        <v>12</v>
      </c>
      <c r="I7">
        <v>0</v>
      </c>
      <c r="J7" s="3">
        <v>45975</v>
      </c>
    </row>
    <row r="8" spans="1:12" x14ac:dyDescent="0.2">
      <c r="H8" t="s">
        <v>12</v>
      </c>
      <c r="I8">
        <v>155</v>
      </c>
      <c r="J8" s="3">
        <v>45978</v>
      </c>
    </row>
    <row r="9" spans="1:12" x14ac:dyDescent="0.2">
      <c r="H9" t="s">
        <v>12</v>
      </c>
      <c r="I9">
        <v>227</v>
      </c>
      <c r="J9" s="3">
        <v>45986</v>
      </c>
    </row>
    <row r="10" spans="1:12" x14ac:dyDescent="0.2">
      <c r="H10" t="s">
        <v>12</v>
      </c>
      <c r="I10">
        <v>85</v>
      </c>
      <c r="J10" s="3">
        <v>45987</v>
      </c>
    </row>
    <row r="11" spans="1:12" x14ac:dyDescent="0.2">
      <c r="H11" t="s">
        <v>12</v>
      </c>
      <c r="I11">
        <v>142</v>
      </c>
      <c r="J11" s="3">
        <v>46005</v>
      </c>
    </row>
    <row r="12" spans="1:12" x14ac:dyDescent="0.2">
      <c r="H12" t="s">
        <v>12</v>
      </c>
      <c r="I12">
        <v>152</v>
      </c>
      <c r="J12" s="3">
        <v>46008</v>
      </c>
    </row>
    <row r="13" spans="1:12" x14ac:dyDescent="0.2">
      <c r="H13" t="s">
        <v>12</v>
      </c>
      <c r="I13">
        <v>227</v>
      </c>
      <c r="J13" s="3">
        <v>46016</v>
      </c>
    </row>
    <row r="14" spans="1:12" x14ac:dyDescent="0.2">
      <c r="H14" t="s">
        <v>12</v>
      </c>
      <c r="I14">
        <v>361</v>
      </c>
      <c r="J14" s="3">
        <v>45670</v>
      </c>
    </row>
    <row r="15" spans="1:12" x14ac:dyDescent="0.2">
      <c r="H15" t="s">
        <v>12</v>
      </c>
      <c r="I15">
        <v>140</v>
      </c>
      <c r="J15" s="3">
        <v>45671</v>
      </c>
    </row>
    <row r="16" spans="1:12" x14ac:dyDescent="0.2">
      <c r="H16" t="s">
        <v>12</v>
      </c>
      <c r="I16">
        <v>225</v>
      </c>
      <c r="J16" s="3">
        <v>45682</v>
      </c>
    </row>
    <row r="17" spans="8:10" x14ac:dyDescent="0.2">
      <c r="H17" t="s">
        <v>12</v>
      </c>
      <c r="I17">
        <v>364</v>
      </c>
      <c r="J17" s="3">
        <v>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Перунов </dc:creator>
  <cp:lastModifiedBy>Илья Перунов </cp:lastModifiedBy>
  <dcterms:created xsi:type="dcterms:W3CDTF">2025-11-03T15:04:50Z</dcterms:created>
  <dcterms:modified xsi:type="dcterms:W3CDTF">2025-12-09T12:45:35Z</dcterms:modified>
</cp:coreProperties>
</file>